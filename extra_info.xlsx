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<sst xmlns="http://schemas.openxmlformats.org/spreadsheetml/2006/main" count="260" uniqueCount="255">
  <si>
    <t>Bank Name</t>
  </si>
  <si>
    <t>Main Branch Address</t>
  </si>
  <si>
    <t>Link to Website</t>
  </si>
  <si>
    <t>Link to Savings (Вклады)</t>
  </si>
  <si>
    <t>Phone / Email</t>
  </si>
  <si>
    <t>Links to Social Media</t>
  </si>
  <si>
    <t>Link to Loan Page</t>
  </si>
  <si>
    <t>Link to "Get a Card" Page</t>
  </si>
  <si>
    <t>National Bank of Uzbekistan (NBU)</t>
  </si>
  <si>
    <t>101, Amir Temur Ave, Tashkent 5</t>
  </si>
  <si>
    <r>
      <rPr>
        <rFont val="'Google Sans Text',sans-serif"/>
        <color rgb="FF1155CC"/>
        <sz val="11.0"/>
        <u/>
      </rPr>
      <t>nbu.uz</t>
    </r>
  </si>
  <si>
    <r>
      <t>(</t>
    </r>
    <r>
      <rPr>
        <rFont val="'Google Sans Text',sans-serif"/>
        <color rgb="FF1155CC"/>
        <sz val="11.0"/>
        <u/>
      </rPr>
      <t>https://nbu.uz/en/private/deposits/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</si>
  <si>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https://t.me/nbu_official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</si>
  <si>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</si>
  <si>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</si>
  <si>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Kapitalbank</t>
  </si>
  <si>
    <t>7, Sayilgoh Str., Tashkent 6</t>
  </si>
  <si>
    <r>
      <rPr>
        <rFont val="'Google Sans Text',sans-serif"/>
        <color rgb="FF1155CC"/>
        <sz val="11.0"/>
        <u/>
      </rPr>
      <t>kapitalbank.uz</t>
    </r>
  </si>
  <si>
    <r>
      <t>(</t>
    </r>
    <r>
      <rPr>
        <rFont val="'Google Sans Text',sans-serif"/>
        <color rgb="FF1155CC"/>
        <sz val="11.0"/>
        <u/>
      </rPr>
      <t>https://kapitalbank.uz/en/private/deposits/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</si>
  <si>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https://t.me/kapital24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</si>
  <si>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</si>
  <si>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</si>
  <si>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Agrobank</t>
  </si>
  <si>
    <t>43, Mukimi Str., Tashkent 7</t>
  </si>
  <si>
    <r>
      <rPr>
        <rFont val="'Google Sans Text',sans-serif"/>
        <color rgb="FF1155CC"/>
        <sz val="11.0"/>
        <u/>
      </rPr>
      <t>agrobank.uz</t>
    </r>
  </si>
  <si>
    <r>
      <t>(</t>
    </r>
    <r>
      <rPr>
        <rFont val="'Google Sans Text',sans-serif"/>
        <color rgb="FF1155CC"/>
        <sz val="11.0"/>
        <u/>
      </rPr>
      <t>https://agrobank.uz/uz/private/deposits</t>
    </r>
    <r>
      <rPr>
        <rFont val="'Google Sans Text',sans-serif"/>
        <sz val="11.0"/>
      </rPr>
      <t>)</t>
    </r>
  </si>
  <si>
    <t>1216
headoffice@agrobank.uz</t>
  </si>
  <si>
    <r>
      <t>(</t>
    </r>
    <r>
      <rPr>
        <rFont val="'Google Sans Text',sans-serif"/>
        <color rgb="FF1155CC"/>
        <sz val="11.0"/>
        <u/>
      </rPr>
      <t>https://t.me/AgrobankChannel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</si>
  <si>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</si>
  <si>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</si>
  <si>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Uzsanoatqurilishbank (SQB)</t>
  </si>
  <si>
    <t>3, Shahrisabz Str., Tashkent 1</t>
  </si>
  <si>
    <r>
      <rPr>
        <rFont val="'Google Sans Text',sans-serif"/>
        <color rgb="FF1155CC"/>
        <sz val="11.0"/>
        <u/>
      </rPr>
      <t>sqb.uz</t>
    </r>
  </si>
  <si>
    <r>
      <t>(</t>
    </r>
    <r>
      <rPr>
        <rFont val="'Google Sans Text',sans-serif"/>
        <color rgb="FF1155CC"/>
        <sz val="11.0"/>
        <u/>
      </rPr>
      <t>https://sqb.uz/en/private/deposits/</t>
    </r>
    <r>
      <rPr>
        <rFont val="'Google Sans Text',sans-serif"/>
        <sz val="11.0"/>
      </rPr>
      <t>)</t>
    </r>
  </si>
  <si>
    <t>1180
info@sqb.uz</t>
  </si>
  <si>
    <r>
      <t>(</t>
    </r>
    <r>
      <rPr>
        <rFont val="'Google Sans Text',sans-serif"/>
        <color rgb="FF1155CC"/>
        <sz val="11.0"/>
        <u/>
      </rPr>
      <t>https://t.me/sqbuz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</si>
  <si>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</si>
  <si>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</si>
  <si>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Asakabank</t>
  </si>
  <si>
    <t>67, Nukus Str., Tashkent 13</t>
  </si>
  <si>
    <r>
      <rPr>
        <rFont val="'Google Sans Text',sans-serif"/>
        <color rgb="FF1155CC"/>
        <sz val="11.0"/>
        <u/>
      </rPr>
      <t>asakabank.uz</t>
    </r>
  </si>
  <si>
    <r>
      <t>(</t>
    </r>
    <r>
      <rPr>
        <rFont val="'Google Sans Text',sans-serif"/>
        <color rgb="FF1155CC"/>
        <sz val="11.0"/>
        <u/>
      </rPr>
      <t>https://asakabank.uz/en/private/deposits</t>
    </r>
    <r>
      <rPr>
        <rFont val="'Google Sans Text',sans-serif"/>
        <sz val="11.0"/>
      </rPr>
      <t>)</t>
    </r>
  </si>
  <si>
    <t>1152
contact@asakabank.uz</t>
  </si>
  <si>
    <r>
      <t>(</t>
    </r>
    <r>
      <rPr>
        <rFont val="'Google Sans Text',sans-serif"/>
        <color rgb="FF1155CC"/>
        <sz val="11.0"/>
        <u/>
      </rPr>
      <t>https://t.me/asakabank_official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</si>
  <si>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</si>
  <si>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</si>
  <si>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Ipoteka-bank</t>
  </si>
  <si>
    <t>30, Shahrisabz Str., Tashkent</t>
  </si>
  <si>
    <r>
      <rPr>
        <rFont val="'Google Sans Text',sans-serif"/>
        <color rgb="FF1155CC"/>
        <sz val="11.0"/>
        <u/>
      </rPr>
      <t>ipotekabank.uz</t>
    </r>
  </si>
  <si>
    <r>
      <t>(</t>
    </r>
    <r>
      <rPr>
        <rFont val="'Google Sans Text',sans-serif"/>
        <color rgb="FF1155CC"/>
        <sz val="11.0"/>
        <u/>
      </rPr>
      <t>https://www.ipotekabank.uz/en/private/deposits/</t>
    </r>
    <r>
      <rPr>
        <rFont val="'Google Sans Text',sans-serif"/>
        <sz val="11.0"/>
      </rPr>
      <t>)</t>
    </r>
  </si>
  <si>
    <t>1233
info@ipotekabank.uz</t>
  </si>
  <si>
    <r>
      <t>(</t>
    </r>
    <r>
      <rPr>
        <rFont val="'Google Sans Text',sans-serif"/>
        <color rgb="FF1155CC"/>
        <sz val="11.0"/>
        <u/>
      </rPr>
      <t>https://t.me/ipotekabankofficial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</si>
  <si>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</si>
  <si>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</si>
  <si>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Xalq Banki (People's Bank)</t>
  </si>
  <si>
    <t>46, Katoltol Str., Tashkent 9</t>
  </si>
  <si>
    <r>
      <rPr>
        <rFont val="'Google Sans Text',sans-serif"/>
        <color rgb="FF1155CC"/>
        <sz val="11.0"/>
        <u/>
      </rPr>
      <t>xb.uz</t>
    </r>
  </si>
  <si>
    <r>
      <t>(</t>
    </r>
    <r>
      <rPr>
        <rFont val="'Google Sans Text',sans-serif"/>
        <color rgb="FF1155CC"/>
        <sz val="11.0"/>
        <u/>
      </rPr>
      <t>https://xb.uz/en/private/deposits</t>
    </r>
    <r>
      <rPr>
        <rFont val="'Google Sans Text',sans-serif"/>
        <sz val="11.0"/>
      </rPr>
      <t>)</t>
    </r>
  </si>
  <si>
    <t>1106
info@xb.uz</t>
  </si>
  <si>
    <r>
      <t>(</t>
    </r>
    <r>
      <rPr>
        <rFont val="'Google Sans Text',sans-serif"/>
        <color rgb="FF1155CC"/>
        <sz val="11.0"/>
        <u/>
      </rPr>
      <t>https://t.me/xalqbankinfo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</si>
  <si>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</si>
  <si>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</si>
  <si>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Business Development Bank (BRB)</t>
  </si>
  <si>
    <t>18A, Navoi Str., Tashkent 22</t>
  </si>
  <si>
    <r>
      <rPr>
        <rFont val="'Google Sans Text',sans-serif"/>
        <color rgb="FF1155CC"/>
        <sz val="11.0"/>
        <u/>
      </rPr>
      <t>brb.uz</t>
    </r>
  </si>
  <si>
    <r>
      <t>(</t>
    </r>
    <r>
      <rPr>
        <rFont val="'Google Sans Text',sans-serif"/>
        <color rgb="FF1155CC"/>
        <sz val="11.0"/>
        <u/>
      </rPr>
      <t>https://brb.uz/en/personal-banking/deposits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</si>
  <si>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https://t.me/brb_uz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</si>
  <si>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</si>
  <si>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</si>
  <si>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Hamkorbank</t>
  </si>
  <si>
    <t>85, Bobur Str., Andijan</t>
  </si>
  <si>
    <r>
      <rPr>
        <rFont val="'Google Sans Text',sans-serif"/>
        <color rgb="FF1155CC"/>
        <sz val="11.0"/>
        <u/>
      </rPr>
      <t>hamkorbank.uz</t>
    </r>
  </si>
  <si>
    <r>
      <t>(</t>
    </r>
    <r>
      <rPr>
        <rFont val="'Google Sans Text',sans-serif"/>
        <color rgb="FF1155CC"/>
        <sz val="11.0"/>
        <u/>
      </rPr>
      <t>https://hamkorbank.uz/en/private/deposits/</t>
    </r>
    <r>
      <rPr>
        <rFont val="'Google Sans Text',sans-serif"/>
        <sz val="11.0"/>
      </rPr>
      <t>)</t>
    </r>
  </si>
  <si>
    <t>0 800 1 200 200
info@hamkorbank.uz</t>
  </si>
  <si>
    <r>
      <t>(</t>
    </r>
    <r>
      <rPr>
        <rFont val="'Google Sans Text',sans-serif"/>
        <color rgb="FF1155CC"/>
        <sz val="11.0"/>
        <u/>
      </rPr>
      <t>https://t.me/Hamkorbankuz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</si>
  <si>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</si>
  <si>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</si>
  <si>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Ipak Yuli Bank</t>
  </si>
  <si>
    <t>2, A. Qodiriy Str., Tashkent 13</t>
  </si>
  <si>
    <r>
      <rPr>
        <rFont val="'Google Sans Text',sans-serif"/>
        <color rgb="FF1155CC"/>
        <sz val="11.0"/>
        <u/>
      </rPr>
      <t>ipakyulibank.uz</t>
    </r>
  </si>
  <si>
    <r>
      <t>(</t>
    </r>
    <r>
      <rPr>
        <rFont val="'Google Sans Text',sans-serif"/>
        <color rgb="FF1155CC"/>
        <sz val="11.0"/>
        <u/>
      </rPr>
      <t>https://en.ipakyulibank.uz/private/deposits</t>
    </r>
    <r>
      <rPr>
        <rFont val="'Google Sans Text',sans-serif"/>
        <sz val="11.0"/>
      </rPr>
      <t>)</t>
    </r>
  </si>
  <si>
    <t>1296
info@ipakyulibank.uz</t>
  </si>
  <si>
    <r>
      <t>(</t>
    </r>
    <r>
      <rPr>
        <rFont val="'Google Sans Text',sans-serif"/>
        <color rgb="FF1155CC"/>
        <sz val="11.0"/>
        <u/>
      </rPr>
      <t>https://t.me/ipakyulibankuz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</si>
  <si>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</si>
  <si>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</si>
  <si>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Tenge Bank</t>
  </si>
  <si>
    <t>66, Parkent Str., Tashkent 33</t>
  </si>
  <si>
    <r>
      <rPr>
        <rFont val="'Google Sans Text',sans-serif"/>
        <color rgb="FF1155CC"/>
        <sz val="11.0"/>
        <u/>
      </rPr>
      <t>tengebank.uz</t>
    </r>
  </si>
  <si>
    <r>
      <t>(</t>
    </r>
    <r>
      <rPr>
        <rFont val="'Google Sans Text',sans-serif"/>
        <color rgb="FF1155CC"/>
        <sz val="11.0"/>
        <u/>
      </rPr>
      <t>https://tengebank.uz/en/deposits</t>
    </r>
    <r>
      <rPr>
        <rFont val="'Google Sans Text',sans-serif"/>
        <sz val="11.0"/>
      </rPr>
      <t>)</t>
    </r>
  </si>
  <si>
    <t>1245
info@tengebank.uz</t>
  </si>
  <si>
    <r>
      <rPr>
        <rFont val="'Google Sans Text',sans-serif"/>
        <color rgb="FF1155CC"/>
        <sz val="11.0"/>
        <u/>
      </rPr>
      <t>Instagram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</si>
  <si>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</si>
  <si>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</si>
  <si>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TBC Bank Uzbekistan</t>
  </si>
  <si>
    <t>10, Fidokor Str., Tashkent</t>
  </si>
  <si>
    <r>
      <rPr>
        <rFont val="'Google Sans Text',sans-serif"/>
        <color rgb="FF1155CC"/>
        <sz val="11.0"/>
        <u/>
      </rPr>
      <t>tbcbank.uz</t>
    </r>
  </si>
  <si>
    <t>(https://tbcbank.uz/en/deposits)</t>
  </si>
  <si>
    <t>1150
help@tbcbank.uz</t>
  </si>
  <si>
    <t>(https://t.me/tbc_bank_uz)</t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</si>
  <si>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</si>
  <si>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</si>
  <si>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Anorbank</t>
  </si>
  <si>
    <t>4, Sairam Str., Tashkent</t>
  </si>
  <si>
    <r>
      <rPr>
        <rFont val="'Google Sans Text',sans-serif"/>
        <color rgb="FF1155CC"/>
        <sz val="11.0"/>
        <u/>
      </rPr>
      <t>anorbank.uz</t>
    </r>
  </si>
  <si>
    <t>(https://anorbank.uz/en/private/deposits/)</t>
  </si>
  <si>
    <t>1290
info@anorbank.uz</t>
  </si>
  <si>
    <t>(https://t.me/anorbank)</t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</si>
  <si>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</si>
  <si>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</si>
  <si>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Octobank</t>
  </si>
  <si>
    <t>2, Furkat Str., Tashkent 3</t>
  </si>
  <si>
    <r>
      <rPr>
        <rFont val="'Google Sans Text',sans-serif"/>
        <color rgb="FF1155CC"/>
        <sz val="11.0"/>
        <u/>
      </rPr>
      <t>octobank.uz</t>
    </r>
  </si>
  <si>
    <r>
      <t>(</t>
    </r>
    <r>
      <rPr>
        <rFont val="'Google Sans Text',sans-serif"/>
        <color rgb="FF1155CC"/>
        <sz val="11.0"/>
        <u/>
      </rPr>
      <t>https://octobank.uz/en/for-private-clients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</si>
  <si>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https://t.me/Octobank_AJ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</si>
  <si>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</si>
  <si>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</si>
  <si>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AVO Bank</t>
  </si>
  <si>
    <t>29A, Nukus Str., Tashkent 2</t>
  </si>
  <si>
    <r>
      <rPr>
        <rFont val="'Google Sans Text',sans-serif"/>
        <color rgb="FF1155CC"/>
        <sz val="11.0"/>
        <u/>
      </rPr>
      <t>avo.uz</t>
    </r>
  </si>
  <si>
    <r>
      <t>(</t>
    </r>
    <r>
      <rPr>
        <rFont val="'Google Sans Text',sans-serif"/>
        <color rgb="FF1155CC"/>
        <sz val="11.0"/>
        <u/>
      </rPr>
      <t>https://avo.uz/ru/deposits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</si>
  <si>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https://t.me/avobank_uz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</si>
  <si>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</si>
  <si>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</si>
  <si>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Garant Bank</t>
  </si>
  <si>
    <t>78, Said Baraka Str., Tashkent 35</t>
  </si>
  <si>
    <r>
      <rPr>
        <rFont val="'Google Sans Text',sans-serif"/>
        <color rgb="FF1155CC"/>
        <sz val="11.0"/>
        <u/>
      </rPr>
      <t>garantbank.uz</t>
    </r>
  </si>
  <si>
    <r>
      <t>(</t>
    </r>
    <r>
      <rPr>
        <rFont val="'Google Sans Text',sans-serif"/>
        <color rgb="FF1155CC"/>
        <sz val="11.0"/>
        <u/>
      </rPr>
      <t>https://garantbank.uz/en/private/deposits</t>
    </r>
    <r>
      <rPr>
        <rFont val="'Google Sans Text',sans-serif"/>
        <sz val="11.0"/>
      </rPr>
      <t>)</t>
    </r>
  </si>
  <si>
    <t>1326
info@garantbank.uz</t>
  </si>
  <si>
    <r>
      <t>(</t>
    </r>
    <r>
      <rPr>
        <rFont val="'Google Sans Text',sans-serif"/>
        <color rgb="FF1155CC"/>
        <sz val="11.0"/>
        <u/>
      </rPr>
      <t>https://t.me/garant_bank_bot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</si>
  <si>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</si>
  <si>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</si>
  <si>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Microcreditbank (MKB)</t>
  </si>
  <si>
    <t>14, Lutfi Str., Tashkent 36</t>
  </si>
  <si>
    <r>
      <rPr>
        <rFont val="'Google Sans Text',sans-serif"/>
        <color rgb="FF1155CC"/>
        <sz val="11.0"/>
        <u/>
      </rPr>
      <t>mkbank.uz</t>
    </r>
  </si>
  <si>
    <r>
      <t>(</t>
    </r>
    <r>
      <rPr>
        <rFont val="'Google Sans Text',sans-serif"/>
        <color rgb="FF1155CC"/>
        <sz val="11.0"/>
        <u/>
      </rPr>
      <t>https://mkbank.uz/en/private/deposits/</t>
    </r>
    <r>
      <rPr>
        <rFont val="'Google Sans Text',sans-serif"/>
        <sz val="11.0"/>
      </rPr>
      <t>)</t>
    </r>
  </si>
  <si>
    <t>1285
info@mikrokreditbank.uz</t>
  </si>
  <si>
    <r>
      <t>(</t>
    </r>
    <r>
      <rPr>
        <rFont val="'Google Sans Text',sans-serif"/>
        <color rgb="FF1155CC"/>
        <sz val="11.0"/>
        <u/>
      </rPr>
      <t>https://t.me/mikrokreditbank_uz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</si>
  <si>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</si>
  <si>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</si>
  <si>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Aloqabank</t>
  </si>
  <si>
    <t>4, Amir Temur Ave, Tashkent 6</t>
  </si>
  <si>
    <r>
      <rPr>
        <rFont val="'Google Sans Text',sans-serif"/>
        <color rgb="FF1155CC"/>
        <sz val="11.0"/>
        <u/>
      </rPr>
      <t>aloqabank.uz</t>
    </r>
  </si>
  <si>
    <r>
      <t>(</t>
    </r>
    <r>
      <rPr>
        <rFont val="'Google Sans Text',sans-serif"/>
        <color rgb="FF1155CC"/>
        <sz val="11.0"/>
        <u/>
      </rPr>
      <t>https://aloqabank.uz/en/private/deposits/</t>
    </r>
    <r>
      <rPr>
        <rFont val="'Google Sans Text',sans-serif"/>
        <sz val="11.0"/>
      </rPr>
      <t>)</t>
    </r>
  </si>
  <si>
    <t>1130
info@aloqabank.uz</t>
  </si>
  <si>
    <r>
      <t>(</t>
    </r>
    <r>
      <rPr>
        <rFont val="'Google Sans Text',sans-serif"/>
        <color rgb="FF1155CC"/>
        <sz val="11.0"/>
        <u/>
      </rPr>
      <t>https://t.me/aloqabank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</si>
  <si>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</si>
  <si>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</si>
  <si>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Turonbank</t>
  </si>
  <si>
    <t>4A, Abay Str., Tashkent</t>
  </si>
  <si>
    <r>
      <rPr>
        <rFont val="'Google Sans Text',sans-serif"/>
        <color rgb="FF1155CC"/>
        <sz val="11.0"/>
        <u/>
      </rPr>
      <t>turonbank.uz</t>
    </r>
  </si>
  <si>
    <r>
      <t>(</t>
    </r>
    <r>
      <rPr>
        <rFont val="'Google Sans Text',sans-serif"/>
        <color rgb="FF1155CC"/>
        <sz val="11.0"/>
        <u/>
      </rPr>
      <t>https://turonbank.uz/en/private/deposits/</t>
    </r>
    <r>
      <rPr>
        <rFont val="'Google Sans Text',sans-serif"/>
        <sz val="11.0"/>
      </rPr>
      <t>)</t>
    </r>
  </si>
  <si>
    <t>1220
info@turonbank.uz</t>
  </si>
  <si>
    <r>
      <t>(</t>
    </r>
    <r>
      <rPr>
        <rFont val="'Google Sans Text',sans-serif"/>
        <color rgb="FF1155CC"/>
        <sz val="11.0"/>
        <u/>
      </rPr>
      <t>https://t.me/turonbankuz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</si>
  <si>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</si>
  <si>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</si>
  <si>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Davr Bank</t>
  </si>
  <si>
    <t>Navoiy-Zarkaynar Str., Blk A, Tashkent 37</t>
  </si>
  <si>
    <r>
      <rPr>
        <rFont val="'Google Sans Text',sans-serif"/>
        <color rgb="FF1155CC"/>
        <sz val="11.0"/>
        <u/>
      </rPr>
      <t>davrbank.uz</t>
    </r>
  </si>
  <si>
    <r>
      <t>(</t>
    </r>
    <r>
      <rPr>
        <rFont val="'Google Sans Text',sans-serif"/>
        <color rgb="FF1155CC"/>
        <sz val="11.0"/>
        <u/>
      </rPr>
      <t>https://davrbank.uz/en/private/deposits/</t>
    </r>
    <r>
      <rPr>
        <rFont val="'Google Sans Text',sans-serif"/>
        <sz val="11.0"/>
      </rPr>
      <t>)</t>
    </r>
  </si>
  <si>
    <t>1284
info@davrbank.uz</t>
  </si>
  <si>
    <r>
      <t>(</t>
    </r>
    <r>
      <rPr>
        <rFont val="'Google Sans Text',sans-serif"/>
        <color rgb="FF1155CC"/>
        <sz val="11.0"/>
        <u/>
      </rPr>
      <t>https://t.me/davrbankuz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</si>
  <si>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</si>
  <si>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</si>
  <si>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Poytaxt Bank</t>
  </si>
  <si>
    <t>55, Islam Karimov Str., Tashkent 28</t>
  </si>
  <si>
    <r>
      <rPr>
        <rFont val="'Google Sans Text',sans-serif"/>
        <color rgb="FF1155CC"/>
        <sz val="11.0"/>
        <u/>
      </rPr>
      <t>poytaxtbank.uz</t>
    </r>
  </si>
  <si>
    <r>
      <t>(</t>
    </r>
    <r>
      <rPr>
        <rFont val="'Google Sans Text',sans-serif"/>
        <color rgb="FF1155CC"/>
        <sz val="11.0"/>
        <u/>
      </rPr>
      <t>https://poytaxtbank.uz/en/private/deposit/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</si>
  <si>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https://t.me/bank_poytaxt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</si>
  <si>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</si>
  <si>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</si>
  <si>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Ziraat Bank Uzbekistan</t>
  </si>
  <si>
    <t>15, Bunyodkor Str., Tashkent 32</t>
  </si>
  <si>
    <r>
      <rPr>
        <rFont val="'Google Sans Text',sans-serif"/>
        <color rgb="FF1155CC"/>
        <sz val="11.0"/>
        <u/>
      </rPr>
      <t>ziraatbank.uz</t>
    </r>
  </si>
  <si>
    <r>
      <t>(</t>
    </r>
    <r>
      <rPr>
        <rFont val="'Google Sans Text',sans-serif"/>
        <color rgb="FF1155CC"/>
        <sz val="11.0"/>
        <u/>
      </rPr>
      <t>https://ziraatbank.uz/en/private/deposits</t>
    </r>
    <r>
      <rPr>
        <rFont val="'Google Sans Text',sans-serif"/>
        <sz val="11.0"/>
      </rPr>
      <t>)</t>
    </r>
  </si>
  <si>
    <t>1293
info@ziraatbank.uz</t>
  </si>
  <si>
    <r>
      <rPr>
        <rFont val="'Google Sans Text',sans-serif"/>
        <color rgb="FF1155CC"/>
        <sz val="11.0"/>
        <u/>
      </rPr>
      <t>Instagram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</si>
  <si>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</si>
  <si>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</si>
  <si>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KDB Bank Uzbekistan</t>
  </si>
  <si>
    <t>3, Bukharo Str., Tashkent 31</t>
  </si>
  <si>
    <r>
      <rPr>
        <rFont val="'Google Sans Text',sans-serif"/>
        <color rgb="FF1155CC"/>
        <sz val="11.0"/>
        <u/>
      </rPr>
      <t>kdb.uz</t>
    </r>
  </si>
  <si>
    <t>(https://kdb.uz/en/individuals/deposit)</t>
  </si>
  <si>
    <r>
      <rPr>
        <rFont val="'Google Sans Text',sans-serif"/>
        <color rgb="FF1155CC"/>
        <sz val="11.0"/>
        <u/>
      </rPr>
      <t>Facebook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</si>
  <si>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</si>
  <si>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</si>
  <si>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Universal Bank</t>
  </si>
  <si>
    <t>Shokhrukhabad Str., Kokand 26</t>
  </si>
  <si>
    <r>
      <rPr>
        <rFont val="'Google Sans Text',sans-serif"/>
        <color rgb="FF1155CC"/>
        <sz val="11.0"/>
        <u/>
      </rPr>
      <t>universalbank.uz</t>
    </r>
  </si>
  <si>
    <r>
      <t>(</t>
    </r>
    <r>
      <rPr>
        <rFont val="'Google Sans Text',sans-serif"/>
        <color rgb="FF1155CC"/>
        <sz val="11.0"/>
        <u/>
      </rPr>
      <t>https://universalbank.uz/en/individual/deposits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</si>
  <si>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https://t.me/universalbankuz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</si>
  <si>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</si>
  <si>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</si>
  <si>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Asia Alliance Bank</t>
  </si>
  <si>
    <t>2A, Makhtumquli Str., Tashkent 38</t>
  </si>
  <si>
    <r>
      <rPr>
        <rFont val="'Google Sans Text',sans-serif"/>
        <color rgb="FF1155CC"/>
        <sz val="11.0"/>
        <u/>
      </rPr>
      <t>aab.uz</t>
    </r>
  </si>
  <si>
    <r>
      <t>(</t>
    </r>
    <r>
      <rPr>
        <rFont val="'Google Sans Text',sans-serif"/>
        <color rgb="FF1155CC"/>
        <sz val="11.0"/>
        <u/>
      </rPr>
      <t>https://aab.uz/en/private/deposits/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</si>
  <si>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https://t.me/asiaalliancebank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</si>
  <si>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</si>
  <si>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</si>
  <si>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Orient Finans Bank</t>
  </si>
  <si>
    <t>5, Osiyo Str., Tashkent</t>
  </si>
  <si>
    <r>
      <rPr>
        <rFont val="'Google Sans Text',sans-serif"/>
        <color rgb="FF1155CC"/>
        <sz val="11.0"/>
        <u/>
      </rPr>
      <t>ofb.uz</t>
    </r>
  </si>
  <si>
    <r>
      <t>(</t>
    </r>
    <r>
      <rPr>
        <rFont val="'Google Sans Text',sans-serif"/>
        <color rgb="FF1155CC"/>
        <sz val="11.0"/>
        <u/>
      </rPr>
      <t>https://ofb.uz/en/private/deposits/</t>
    </r>
    <r>
      <rPr>
        <rFont val="'Google Sans Text',sans-serif"/>
        <sz val="11.0"/>
      </rPr>
      <t>)</t>
    </r>
  </si>
  <si>
    <t>1370
info@ofb.uz</t>
  </si>
  <si>
    <r>
      <t>(</t>
    </r>
    <r>
      <rPr>
        <rFont val="'Google Sans Text',sans-serif"/>
        <color rgb="FF1155CC"/>
        <sz val="11.0"/>
        <u/>
      </rPr>
      <t>https://t.me/orientfinansbank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</si>
  <si>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</si>
  <si>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</si>
  <si>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Trustbank</t>
  </si>
  <si>
    <t>7, Navoi Str., Tashkent 15</t>
  </si>
  <si>
    <r>
      <rPr>
        <rFont val="'Google Sans Text',sans-serif"/>
        <color rgb="FF1155CC"/>
        <sz val="11.0"/>
        <u/>
      </rPr>
      <t>trustbank.uz</t>
    </r>
  </si>
  <si>
    <r>
      <t>(</t>
    </r>
    <r>
      <rPr>
        <rFont val="'Google Sans Text',sans-serif"/>
        <color rgb="FF1155CC"/>
        <sz val="11.0"/>
        <u/>
      </rPr>
      <t>https://trustbank.uz/en/private/deposits/</t>
    </r>
    <r>
      <rPr>
        <rFont val="'Google Sans Text',sans-serif"/>
        <sz val="11.0"/>
      </rPr>
      <t>)</t>
    </r>
  </si>
  <si>
    <t>1287
info@trustbank.uz</t>
  </si>
  <si>
    <r>
      <t>(</t>
    </r>
    <r>
      <rPr>
        <rFont val="'Google Sans Text',sans-serif"/>
        <color rgb="FF1155CC"/>
        <sz val="11.0"/>
        <u/>
      </rPr>
      <t>https://t.me/trustbankuz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</si>
  <si>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</si>
  <si>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</si>
  <si>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Smart Bank</t>
  </si>
  <si>
    <t>2A, Almazor Str., Tashkent 19</t>
  </si>
  <si>
    <r>
      <rPr>
        <rFont val="'Google Sans Text',sans-serif"/>
        <color rgb="FF1155CC"/>
        <sz val="11.0"/>
        <u/>
      </rPr>
      <t>smartbank.uz</t>
    </r>
  </si>
  <si>
    <r>
      <t>(</t>
    </r>
    <r>
      <rPr>
        <rFont val="'Google Sans Text',sans-serif"/>
        <color rgb="FF1155CC"/>
        <sz val="11.0"/>
        <u/>
      </rPr>
      <t>https://smartbank.uz</t>
    </r>
    <r>
      <rPr>
        <rFont val="'Google Sans Text',sans-serif"/>
        <sz val="11.0"/>
      </rPr>
      <t>)</t>
    </r>
  </si>
  <si>
    <t>1377
office@smartbank.uz</t>
  </si>
  <si>
    <t>N/A</t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</si>
  <si>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</si>
  <si>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</si>
  <si>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Hayot Bank</t>
  </si>
  <si>
    <t>40, Osiyo Str., Tashkent 39</t>
  </si>
  <si>
    <r>
      <rPr>
        <rFont val="'Google Sans Text',sans-serif"/>
        <color rgb="FF1155CC"/>
        <sz val="11.0"/>
        <u/>
      </rPr>
      <t>hayotbank.uz</t>
    </r>
  </si>
  <si>
    <r>
      <t>(</t>
    </r>
    <r>
      <rPr>
        <rFont val="'Google Sans Text',sans-serif"/>
        <color rgb="FF1155CC"/>
        <sz val="11.0"/>
        <u/>
      </rPr>
      <t>https://hayotbank.uz</t>
    </r>
    <r>
      <rPr>
        <rFont val="'Google Sans Text',sans-serif"/>
        <sz val="11.0"/>
      </rPr>
      <t>)</t>
    </r>
  </si>
  <si>
    <t>1320
info@hayotbank.uz</t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</si>
  <si>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</si>
  <si>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</si>
  <si>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Yangi Bank</t>
  </si>
  <si>
    <t>99, Amir Temur Str., Tashkent 40</t>
  </si>
  <si>
    <r>
      <rPr>
        <rFont val="'Google Sans Text',sans-serif"/>
        <color rgb="FF1155CC"/>
        <sz val="11.0"/>
        <u/>
      </rPr>
      <t>yangibank.uz</t>
    </r>
  </si>
  <si>
    <r>
      <t>(</t>
    </r>
    <r>
      <rPr>
        <rFont val="'Google Sans Text',sans-serif"/>
        <color rgb="FF1155CC"/>
        <sz val="11.0"/>
        <u/>
      </rPr>
      <t>https://yangibank.uz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</si>
  <si>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</si>
  <si>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</si>
  <si>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Apex Bank</t>
  </si>
  <si>
    <t>77, Sadik Azimov Str., Tashkent 41</t>
  </si>
  <si>
    <r>
      <rPr>
        <rFont val="'Google Sans Text',sans-serif"/>
        <color rgb="FF1155CC"/>
        <sz val="11.0"/>
        <u/>
      </rPr>
      <t>apexbank.uz</t>
    </r>
  </si>
  <si>
    <r>
      <t>(</t>
    </r>
    <r>
      <rPr>
        <rFont val="'Google Sans Text',sans-serif"/>
        <color rgb="FF1155CC"/>
        <sz val="11.0"/>
        <u/>
      </rPr>
      <t>https://apexbank.uz/en/private/deposits/</t>
    </r>
    <r>
      <rPr>
        <rFont val="'Google Sans Text',sans-serif"/>
        <sz val="11.0"/>
      </rPr>
      <t>)</t>
    </r>
  </si>
  <si>
    <t>1881
info@apexbank.uz</t>
  </si>
  <si>
    <r>
      <t>(</t>
    </r>
    <r>
      <rPr>
        <rFont val="'Google Sans Text',sans-serif"/>
        <color rgb="FF1155CC"/>
        <sz val="11.0"/>
        <u/>
      </rPr>
      <t>https://t.me/apexbankuz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</si>
  <si>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</si>
  <si>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</si>
  <si>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Madad Invest Bank</t>
  </si>
  <si>
    <t>Tashkent (Various branches)</t>
  </si>
  <si>
    <r>
      <rPr>
        <rFont val="'Google Sans Text',sans-serif"/>
        <color rgb="FF1155CC"/>
        <sz val="11.0"/>
        <u/>
      </rPr>
      <t>madadinvestbank.uz</t>
    </r>
  </si>
  <si>
    <r>
      <t>(</t>
    </r>
    <r>
      <rPr>
        <rFont val="'Google Sans Text',sans-serif"/>
        <color rgb="FF1155CC"/>
        <sz val="11.0"/>
        <u/>
      </rPr>
      <t>https://madadinvestbank.uz/deposits</t>
    </r>
    <r>
      <rPr>
        <rFont val="'Google Sans Text',sans-serif"/>
        <sz val="11.0"/>
      </rPr>
      <t>)</t>
    </r>
  </si>
  <si>
    <r>
      <t>(</t>
    </r>
    <r>
      <rPr>
        <rFont val="'Google Sans Text',sans-serif"/>
        <color rgb="FF1155CC"/>
        <sz val="11.0"/>
        <u/>
      </rPr>
      <t>https://t.me/madadinvestbank</t>
    </r>
    <r>
      <rPr>
        <rFont val="'Google Sans Text',sans-serif"/>
        <sz val="11.0"/>
      </rPr>
      <t>)</t>
    </r>
  </si>
  <si>
    <r>
      <rPr>
        <rFont val="'Google Sans Text',sans-serif"/>
        <color rgb="FF1155CC"/>
        <sz val="11.0"/>
        <u/>
      </rPr>
      <t>Loans</t>
    </r>
  </si>
  <si>
    <r>
      <rPr>
        <rFont val="'Google Sans Text',sans-serif"/>
        <color rgb="FF1155CC"/>
        <sz val="11.0"/>
        <u/>
      </rPr>
      <t>Cards</t>
    </r>
  </si>
  <si>
    <t>Bank Saderat Tashkent</t>
  </si>
  <si>
    <t>10, Fidokor Str., Tashkent 15</t>
  </si>
  <si>
    <r>
      <rPr>
        <rFont val="'Google Sans Text',sans-serif"/>
        <color rgb="FF1155CC"/>
        <sz val="11.0"/>
        <u/>
      </rPr>
      <t>saderatbank.uz</t>
    </r>
  </si>
  <si>
    <t>N/A (Corporate)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</si>
</sst>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F1F1F"/>
      <name val="'Google Sans Text'"/>
    </font>
    <font>
      <sz val="11.0"/>
      <color rgb="FF1F1F1F"/>
      <name val="'Google Sans Text'"/>
    </font>
    <font>
      <u/>
      <sz val="11.0"/>
      <color rgb="FF0000FF"/>
      <name val="'Google Sans Text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rb.uz/en/personal-banking/cards" TargetMode="External"/><Relationship Id="rId42" Type="http://schemas.openxmlformats.org/officeDocument/2006/relationships/hyperlink" Target="https://hamkorbank.uz/en/private/deposits/" TargetMode="External"/><Relationship Id="rId41" Type="http://schemas.openxmlformats.org/officeDocument/2006/relationships/hyperlink" Target="https://hamkorbank.uz/en" TargetMode="External"/><Relationship Id="rId44" Type="http://schemas.openxmlformats.org/officeDocument/2006/relationships/hyperlink" Target="https://hamkorbank.uz/en/private/credits/" TargetMode="External"/><Relationship Id="rId43" Type="http://schemas.openxmlformats.org/officeDocument/2006/relationships/hyperlink" Target="https://t.me/Hamkorbankuz" TargetMode="External"/><Relationship Id="rId46" Type="http://schemas.openxmlformats.org/officeDocument/2006/relationships/hyperlink" Target="https://en.ipakyulibank.uz" TargetMode="External"/><Relationship Id="rId45" Type="http://schemas.openxmlformats.org/officeDocument/2006/relationships/hyperlink" Target="https://hamkorbank.uz/en/private/cards/" TargetMode="External"/><Relationship Id="rId107" Type="http://schemas.openxmlformats.org/officeDocument/2006/relationships/hyperlink" Target="https://kdb.uz/en" TargetMode="External"/><Relationship Id="rId106" Type="http://schemas.openxmlformats.org/officeDocument/2006/relationships/hyperlink" Target="https://ziraatbank.uz/en/private/cards" TargetMode="External"/><Relationship Id="rId105" Type="http://schemas.openxmlformats.org/officeDocument/2006/relationships/hyperlink" Target="https://ziraatbank.uz/en/private/credits" TargetMode="External"/><Relationship Id="rId104" Type="http://schemas.openxmlformats.org/officeDocument/2006/relationships/hyperlink" Target="https://instagram.com/ziraatbank_uzbekistan" TargetMode="External"/><Relationship Id="rId109" Type="http://schemas.openxmlformats.org/officeDocument/2006/relationships/hyperlink" Target="https://kdb.uz/en/individuals/credit" TargetMode="External"/><Relationship Id="rId108" Type="http://schemas.openxmlformats.org/officeDocument/2006/relationships/hyperlink" Target="https://facebook.com/kdbuz" TargetMode="External"/><Relationship Id="rId48" Type="http://schemas.openxmlformats.org/officeDocument/2006/relationships/hyperlink" Target="https://t.me/ipakyulibankuz" TargetMode="External"/><Relationship Id="rId47" Type="http://schemas.openxmlformats.org/officeDocument/2006/relationships/hyperlink" Target="https://en.ipakyulibank.uz/private/deposits" TargetMode="External"/><Relationship Id="rId49" Type="http://schemas.openxmlformats.org/officeDocument/2006/relationships/hyperlink" Target="https://en.ipakyulibank.uz/private/credits" TargetMode="External"/><Relationship Id="rId103" Type="http://schemas.openxmlformats.org/officeDocument/2006/relationships/hyperlink" Target="https://ziraatbank.uz/en/private/deposits" TargetMode="External"/><Relationship Id="rId102" Type="http://schemas.openxmlformats.org/officeDocument/2006/relationships/hyperlink" Target="https://ziraatbank.uz/en" TargetMode="External"/><Relationship Id="rId101" Type="http://schemas.openxmlformats.org/officeDocument/2006/relationships/hyperlink" Target="https://poytaxtbank.uz/en/private/cards/" TargetMode="External"/><Relationship Id="rId100" Type="http://schemas.openxmlformats.org/officeDocument/2006/relationships/hyperlink" Target="https://poytaxtbank.uz/en/private/crediting/" TargetMode="External"/><Relationship Id="rId31" Type="http://schemas.openxmlformats.org/officeDocument/2006/relationships/hyperlink" Target="https://xb.uz/en" TargetMode="External"/><Relationship Id="rId30" Type="http://schemas.openxmlformats.org/officeDocument/2006/relationships/hyperlink" Target="https://www.ipotekabank.uz/en/private/cards/" TargetMode="External"/><Relationship Id="rId33" Type="http://schemas.openxmlformats.org/officeDocument/2006/relationships/hyperlink" Target="https://t.me/xalqbankinfo" TargetMode="External"/><Relationship Id="rId32" Type="http://schemas.openxmlformats.org/officeDocument/2006/relationships/hyperlink" Target="https://xb.uz/en/private/deposits" TargetMode="External"/><Relationship Id="rId35" Type="http://schemas.openxmlformats.org/officeDocument/2006/relationships/hyperlink" Target="https://xb.uz/en/private/cards" TargetMode="External"/><Relationship Id="rId34" Type="http://schemas.openxmlformats.org/officeDocument/2006/relationships/hyperlink" Target="https://xb.uz/en/private/credits" TargetMode="External"/><Relationship Id="rId37" Type="http://schemas.openxmlformats.org/officeDocument/2006/relationships/hyperlink" Target="https://brb.uz/en/personal-banking/deposits" TargetMode="External"/><Relationship Id="rId36" Type="http://schemas.openxmlformats.org/officeDocument/2006/relationships/hyperlink" Target="https://brb.uz/en" TargetMode="External"/><Relationship Id="rId39" Type="http://schemas.openxmlformats.org/officeDocument/2006/relationships/hyperlink" Target="https://brb.uz/en/personal-banking/loans" TargetMode="External"/><Relationship Id="rId38" Type="http://schemas.openxmlformats.org/officeDocument/2006/relationships/hyperlink" Target="https://t.me/brb_uz" TargetMode="External"/><Relationship Id="rId20" Type="http://schemas.openxmlformats.org/officeDocument/2006/relationships/hyperlink" Target="https://sqb.uz/en/private/cards/" TargetMode="External"/><Relationship Id="rId22" Type="http://schemas.openxmlformats.org/officeDocument/2006/relationships/hyperlink" Target="https://asakabank.uz/en/private/deposits" TargetMode="External"/><Relationship Id="rId21" Type="http://schemas.openxmlformats.org/officeDocument/2006/relationships/hyperlink" Target="https://asakabank.uz/en" TargetMode="External"/><Relationship Id="rId24" Type="http://schemas.openxmlformats.org/officeDocument/2006/relationships/hyperlink" Target="https://asakabank.uz/en/private/credits" TargetMode="External"/><Relationship Id="rId23" Type="http://schemas.openxmlformats.org/officeDocument/2006/relationships/hyperlink" Target="https://t.me/asakabank_official" TargetMode="External"/><Relationship Id="rId129" Type="http://schemas.openxmlformats.org/officeDocument/2006/relationships/hyperlink" Target="https://trustbank.uz/en/private/credits/" TargetMode="External"/><Relationship Id="rId128" Type="http://schemas.openxmlformats.org/officeDocument/2006/relationships/hyperlink" Target="https://t.me/trustbankuz" TargetMode="External"/><Relationship Id="rId127" Type="http://schemas.openxmlformats.org/officeDocument/2006/relationships/hyperlink" Target="https://trustbank.uz/en/private/deposits/" TargetMode="External"/><Relationship Id="rId126" Type="http://schemas.openxmlformats.org/officeDocument/2006/relationships/hyperlink" Target="https://trustbank.uz/en" TargetMode="External"/><Relationship Id="rId26" Type="http://schemas.openxmlformats.org/officeDocument/2006/relationships/hyperlink" Target="https://www.ipotekabank.uz/en" TargetMode="External"/><Relationship Id="rId121" Type="http://schemas.openxmlformats.org/officeDocument/2006/relationships/hyperlink" Target="https://ofb.uz/en" TargetMode="External"/><Relationship Id="rId25" Type="http://schemas.openxmlformats.org/officeDocument/2006/relationships/hyperlink" Target="https://asakabank.uz/en/private/cards" TargetMode="External"/><Relationship Id="rId120" Type="http://schemas.openxmlformats.org/officeDocument/2006/relationships/hyperlink" Target="https://aab.uz/en/private/cards/" TargetMode="External"/><Relationship Id="rId28" Type="http://schemas.openxmlformats.org/officeDocument/2006/relationships/hyperlink" Target="https://t.me/ipotekabankofficial" TargetMode="External"/><Relationship Id="rId27" Type="http://schemas.openxmlformats.org/officeDocument/2006/relationships/hyperlink" Target="https://www.ipotekabank.uz/en/private/deposits/" TargetMode="External"/><Relationship Id="rId125" Type="http://schemas.openxmlformats.org/officeDocument/2006/relationships/hyperlink" Target="https://ofb.uz/en/private/cards/" TargetMode="External"/><Relationship Id="rId29" Type="http://schemas.openxmlformats.org/officeDocument/2006/relationships/hyperlink" Target="https://www.ipotekabank.uz/en/private/credits/" TargetMode="External"/><Relationship Id="rId124" Type="http://schemas.openxmlformats.org/officeDocument/2006/relationships/hyperlink" Target="https://ofb.uz/en/private/credits/" TargetMode="External"/><Relationship Id="rId123" Type="http://schemas.openxmlformats.org/officeDocument/2006/relationships/hyperlink" Target="https://t.me/orientfinansbank" TargetMode="External"/><Relationship Id="rId122" Type="http://schemas.openxmlformats.org/officeDocument/2006/relationships/hyperlink" Target="https://ofb.uz/en/private/deposits/" TargetMode="External"/><Relationship Id="rId95" Type="http://schemas.openxmlformats.org/officeDocument/2006/relationships/hyperlink" Target="https://davrbank.uz/en/private/credits/" TargetMode="External"/><Relationship Id="rId94" Type="http://schemas.openxmlformats.org/officeDocument/2006/relationships/hyperlink" Target="https://t.me/davrbankuz" TargetMode="External"/><Relationship Id="rId97" Type="http://schemas.openxmlformats.org/officeDocument/2006/relationships/hyperlink" Target="https://poytaxtbank.uz/en" TargetMode="External"/><Relationship Id="rId96" Type="http://schemas.openxmlformats.org/officeDocument/2006/relationships/hyperlink" Target="https://davrbank.uz/en/private/cards/" TargetMode="External"/><Relationship Id="rId11" Type="http://schemas.openxmlformats.org/officeDocument/2006/relationships/hyperlink" Target="https://agrobank.uz" TargetMode="External"/><Relationship Id="rId99" Type="http://schemas.openxmlformats.org/officeDocument/2006/relationships/hyperlink" Target="https://t.me/bank_poytaxt" TargetMode="External"/><Relationship Id="rId10" Type="http://schemas.openxmlformats.org/officeDocument/2006/relationships/hyperlink" Target="https://kapitalbank.uz/en/private/cards/" TargetMode="External"/><Relationship Id="rId98" Type="http://schemas.openxmlformats.org/officeDocument/2006/relationships/hyperlink" Target="https://poytaxtbank.uz/en/private/deposit/" TargetMode="External"/><Relationship Id="rId13" Type="http://schemas.openxmlformats.org/officeDocument/2006/relationships/hyperlink" Target="https://t.me/AgrobankChannel" TargetMode="External"/><Relationship Id="rId12" Type="http://schemas.openxmlformats.org/officeDocument/2006/relationships/hyperlink" Target="https://agrobank.uz/uz/private/deposits" TargetMode="External"/><Relationship Id="rId91" Type="http://schemas.openxmlformats.org/officeDocument/2006/relationships/hyperlink" Target="https://turonbank.uz/en/private/cards/" TargetMode="External"/><Relationship Id="rId90" Type="http://schemas.openxmlformats.org/officeDocument/2006/relationships/hyperlink" Target="https://turonbank.uz/en/private/credits/" TargetMode="External"/><Relationship Id="rId93" Type="http://schemas.openxmlformats.org/officeDocument/2006/relationships/hyperlink" Target="https://davrbank.uz/en/private/deposits/" TargetMode="External"/><Relationship Id="rId92" Type="http://schemas.openxmlformats.org/officeDocument/2006/relationships/hyperlink" Target="https://davrbank.uz/en" TargetMode="External"/><Relationship Id="rId118" Type="http://schemas.openxmlformats.org/officeDocument/2006/relationships/hyperlink" Target="https://t.me/asiaalliancebank" TargetMode="External"/><Relationship Id="rId117" Type="http://schemas.openxmlformats.org/officeDocument/2006/relationships/hyperlink" Target="https://aab.uz/en/private/deposits/" TargetMode="External"/><Relationship Id="rId116" Type="http://schemas.openxmlformats.org/officeDocument/2006/relationships/hyperlink" Target="https://aab.uz/en" TargetMode="External"/><Relationship Id="rId115" Type="http://schemas.openxmlformats.org/officeDocument/2006/relationships/hyperlink" Target="https://universalbank.uz/en/individual/cards" TargetMode="External"/><Relationship Id="rId119" Type="http://schemas.openxmlformats.org/officeDocument/2006/relationships/hyperlink" Target="https://aab.uz/en/private/crediting/" TargetMode="External"/><Relationship Id="rId15" Type="http://schemas.openxmlformats.org/officeDocument/2006/relationships/hyperlink" Target="https://agrobank.uz/uz/private/cards" TargetMode="External"/><Relationship Id="rId110" Type="http://schemas.openxmlformats.org/officeDocument/2006/relationships/hyperlink" Target="https://kdb.uz/en/individuals/cards" TargetMode="External"/><Relationship Id="rId14" Type="http://schemas.openxmlformats.org/officeDocument/2006/relationships/hyperlink" Target="https://agrobank.uz/uz/private/credits" TargetMode="External"/><Relationship Id="rId17" Type="http://schemas.openxmlformats.org/officeDocument/2006/relationships/hyperlink" Target="https://sqb.uz/en/private/deposits/" TargetMode="External"/><Relationship Id="rId16" Type="http://schemas.openxmlformats.org/officeDocument/2006/relationships/hyperlink" Target="https://sqb.uz/en" TargetMode="External"/><Relationship Id="rId19" Type="http://schemas.openxmlformats.org/officeDocument/2006/relationships/hyperlink" Target="https://sqb.uz/en/private/credits/" TargetMode="External"/><Relationship Id="rId114" Type="http://schemas.openxmlformats.org/officeDocument/2006/relationships/hyperlink" Target="https://universalbank.uz/en/individual/credits" TargetMode="External"/><Relationship Id="rId18" Type="http://schemas.openxmlformats.org/officeDocument/2006/relationships/hyperlink" Target="https://t.me/sqbuz" TargetMode="External"/><Relationship Id="rId113" Type="http://schemas.openxmlformats.org/officeDocument/2006/relationships/hyperlink" Target="https://t.me/universalbankuz" TargetMode="External"/><Relationship Id="rId112" Type="http://schemas.openxmlformats.org/officeDocument/2006/relationships/hyperlink" Target="https://universalbank.uz/en/individual/deposits" TargetMode="External"/><Relationship Id="rId111" Type="http://schemas.openxmlformats.org/officeDocument/2006/relationships/hyperlink" Target="https://universalbank.uz/en" TargetMode="External"/><Relationship Id="rId84" Type="http://schemas.openxmlformats.org/officeDocument/2006/relationships/hyperlink" Target="https://t.me/aloqabank" TargetMode="External"/><Relationship Id="rId83" Type="http://schemas.openxmlformats.org/officeDocument/2006/relationships/hyperlink" Target="https://aloqabank.uz/en/private/deposits/" TargetMode="External"/><Relationship Id="rId86" Type="http://schemas.openxmlformats.org/officeDocument/2006/relationships/hyperlink" Target="https://aloqabank.uz/en/private/cards/" TargetMode="External"/><Relationship Id="rId85" Type="http://schemas.openxmlformats.org/officeDocument/2006/relationships/hyperlink" Target="https://aloqabank.uz/en/private/credits/" TargetMode="External"/><Relationship Id="rId88" Type="http://schemas.openxmlformats.org/officeDocument/2006/relationships/hyperlink" Target="https://turonbank.uz/en/private/deposits/" TargetMode="External"/><Relationship Id="rId150" Type="http://schemas.openxmlformats.org/officeDocument/2006/relationships/hyperlink" Target="https://t.me/madadinvestbank" TargetMode="External"/><Relationship Id="rId87" Type="http://schemas.openxmlformats.org/officeDocument/2006/relationships/hyperlink" Target="https://turonbank.uz/en" TargetMode="External"/><Relationship Id="rId89" Type="http://schemas.openxmlformats.org/officeDocument/2006/relationships/hyperlink" Target="https://t.me/turonbankuz" TargetMode="External"/><Relationship Id="rId80" Type="http://schemas.openxmlformats.org/officeDocument/2006/relationships/hyperlink" Target="https://mkbank.uz/en/private/credits/" TargetMode="External"/><Relationship Id="rId82" Type="http://schemas.openxmlformats.org/officeDocument/2006/relationships/hyperlink" Target="https://aloqabank.uz/en" TargetMode="External"/><Relationship Id="rId81" Type="http://schemas.openxmlformats.org/officeDocument/2006/relationships/hyperlink" Target="https://mkbank.uz/en/private/cards/" TargetMode="External"/><Relationship Id="rId1" Type="http://schemas.openxmlformats.org/officeDocument/2006/relationships/hyperlink" Target="https://nbu.uz/en" TargetMode="External"/><Relationship Id="rId2" Type="http://schemas.openxmlformats.org/officeDocument/2006/relationships/hyperlink" Target="https://nbu.uz/en/private/deposits/" TargetMode="External"/><Relationship Id="rId3" Type="http://schemas.openxmlformats.org/officeDocument/2006/relationships/hyperlink" Target="https://t.me/nbu_official" TargetMode="External"/><Relationship Id="rId149" Type="http://schemas.openxmlformats.org/officeDocument/2006/relationships/hyperlink" Target="https://madadinvestbank.uz/deposits" TargetMode="External"/><Relationship Id="rId4" Type="http://schemas.openxmlformats.org/officeDocument/2006/relationships/hyperlink" Target="https://nbu.uz/en/private/loans/" TargetMode="External"/><Relationship Id="rId148" Type="http://schemas.openxmlformats.org/officeDocument/2006/relationships/hyperlink" Target="https://madadinvestbank.uz" TargetMode="External"/><Relationship Id="rId9" Type="http://schemas.openxmlformats.org/officeDocument/2006/relationships/hyperlink" Target="https://kapitalbank.uz/en/private/crediting/" TargetMode="External"/><Relationship Id="rId143" Type="http://schemas.openxmlformats.org/officeDocument/2006/relationships/hyperlink" Target="https://apexbank.uz/en" TargetMode="External"/><Relationship Id="rId142" Type="http://schemas.openxmlformats.org/officeDocument/2006/relationships/hyperlink" Target="https://yangibank.uz" TargetMode="External"/><Relationship Id="rId141" Type="http://schemas.openxmlformats.org/officeDocument/2006/relationships/hyperlink" Target="https://yangibank.uz" TargetMode="External"/><Relationship Id="rId140" Type="http://schemas.openxmlformats.org/officeDocument/2006/relationships/hyperlink" Target="https://yangibank.uz" TargetMode="External"/><Relationship Id="rId5" Type="http://schemas.openxmlformats.org/officeDocument/2006/relationships/hyperlink" Target="https://nbu.uz/en/private/cards/" TargetMode="External"/><Relationship Id="rId147" Type="http://schemas.openxmlformats.org/officeDocument/2006/relationships/hyperlink" Target="https://apexbank.uz/en/private/cards/" TargetMode="External"/><Relationship Id="rId6" Type="http://schemas.openxmlformats.org/officeDocument/2006/relationships/hyperlink" Target="https://kapitalbank.uz/en" TargetMode="External"/><Relationship Id="rId146" Type="http://schemas.openxmlformats.org/officeDocument/2006/relationships/hyperlink" Target="https://apexbank.uz/en/private/credits/" TargetMode="External"/><Relationship Id="rId7" Type="http://schemas.openxmlformats.org/officeDocument/2006/relationships/hyperlink" Target="https://kapitalbank.uz/en/private/deposits/" TargetMode="External"/><Relationship Id="rId145" Type="http://schemas.openxmlformats.org/officeDocument/2006/relationships/hyperlink" Target="https://t.me/apexbankuz" TargetMode="External"/><Relationship Id="rId8" Type="http://schemas.openxmlformats.org/officeDocument/2006/relationships/hyperlink" Target="https://t.me/kapital24" TargetMode="External"/><Relationship Id="rId144" Type="http://schemas.openxmlformats.org/officeDocument/2006/relationships/hyperlink" Target="https://apexbank.uz/en/private/deposits/" TargetMode="External"/><Relationship Id="rId73" Type="http://schemas.openxmlformats.org/officeDocument/2006/relationships/hyperlink" Target="https://garantbank.uz/en/private/deposits" TargetMode="External"/><Relationship Id="rId72" Type="http://schemas.openxmlformats.org/officeDocument/2006/relationships/hyperlink" Target="https://garantbank.uz/en" TargetMode="External"/><Relationship Id="rId75" Type="http://schemas.openxmlformats.org/officeDocument/2006/relationships/hyperlink" Target="https://garantbank.uz/en/private/credits" TargetMode="External"/><Relationship Id="rId74" Type="http://schemas.openxmlformats.org/officeDocument/2006/relationships/hyperlink" Target="https://t.me/garant_bank_bot" TargetMode="External"/><Relationship Id="rId77" Type="http://schemas.openxmlformats.org/officeDocument/2006/relationships/hyperlink" Target="https://mkbank.uz/en" TargetMode="External"/><Relationship Id="rId76" Type="http://schemas.openxmlformats.org/officeDocument/2006/relationships/hyperlink" Target="https://garantbank.uz/en/private/cards" TargetMode="External"/><Relationship Id="rId79" Type="http://schemas.openxmlformats.org/officeDocument/2006/relationships/hyperlink" Target="https://t.me/mikrokreditbank_uz" TargetMode="External"/><Relationship Id="rId78" Type="http://schemas.openxmlformats.org/officeDocument/2006/relationships/hyperlink" Target="https://mkbank.uz/en/private/deposits/" TargetMode="External"/><Relationship Id="rId71" Type="http://schemas.openxmlformats.org/officeDocument/2006/relationships/hyperlink" Target="https://avo.uz/ru/credit-card" TargetMode="External"/><Relationship Id="rId70" Type="http://schemas.openxmlformats.org/officeDocument/2006/relationships/hyperlink" Target="https://avo.uz/ru/credit-card" TargetMode="External"/><Relationship Id="rId139" Type="http://schemas.openxmlformats.org/officeDocument/2006/relationships/hyperlink" Target="https://yangibank.uz" TargetMode="External"/><Relationship Id="rId138" Type="http://schemas.openxmlformats.org/officeDocument/2006/relationships/hyperlink" Target="https://hayotbank.uz" TargetMode="External"/><Relationship Id="rId137" Type="http://schemas.openxmlformats.org/officeDocument/2006/relationships/hyperlink" Target="https://hayotbank.uz" TargetMode="External"/><Relationship Id="rId132" Type="http://schemas.openxmlformats.org/officeDocument/2006/relationships/hyperlink" Target="https://smartbank.uz" TargetMode="External"/><Relationship Id="rId131" Type="http://schemas.openxmlformats.org/officeDocument/2006/relationships/hyperlink" Target="https://smartbank.uz" TargetMode="External"/><Relationship Id="rId130" Type="http://schemas.openxmlformats.org/officeDocument/2006/relationships/hyperlink" Target="https://trustbank.uz/en/private/cards/" TargetMode="External"/><Relationship Id="rId136" Type="http://schemas.openxmlformats.org/officeDocument/2006/relationships/hyperlink" Target="https://hayotbank.uz" TargetMode="External"/><Relationship Id="rId135" Type="http://schemas.openxmlformats.org/officeDocument/2006/relationships/hyperlink" Target="https://hayotbank.uz" TargetMode="External"/><Relationship Id="rId134" Type="http://schemas.openxmlformats.org/officeDocument/2006/relationships/hyperlink" Target="https://smartbank.uz" TargetMode="External"/><Relationship Id="rId133" Type="http://schemas.openxmlformats.org/officeDocument/2006/relationships/hyperlink" Target="https://smartbank.uz" TargetMode="External"/><Relationship Id="rId62" Type="http://schemas.openxmlformats.org/officeDocument/2006/relationships/hyperlink" Target="https://octobank.uz/en" TargetMode="External"/><Relationship Id="rId61" Type="http://schemas.openxmlformats.org/officeDocument/2006/relationships/hyperlink" Target="https://anorbank.uz/en/private/cards/" TargetMode="External"/><Relationship Id="rId64" Type="http://schemas.openxmlformats.org/officeDocument/2006/relationships/hyperlink" Target="https://t.me/Octobank_AJ" TargetMode="External"/><Relationship Id="rId63" Type="http://schemas.openxmlformats.org/officeDocument/2006/relationships/hyperlink" Target="https://octobank.uz/en/for-private-clients" TargetMode="External"/><Relationship Id="rId66" Type="http://schemas.openxmlformats.org/officeDocument/2006/relationships/hyperlink" Target="https://octobank.uz/en/for-private-clients" TargetMode="External"/><Relationship Id="rId65" Type="http://schemas.openxmlformats.org/officeDocument/2006/relationships/hyperlink" Target="https://octobank.uz/en/for-private-clients" TargetMode="External"/><Relationship Id="rId68" Type="http://schemas.openxmlformats.org/officeDocument/2006/relationships/hyperlink" Target="https://avo.uz/ru/deposits" TargetMode="External"/><Relationship Id="rId67" Type="http://schemas.openxmlformats.org/officeDocument/2006/relationships/hyperlink" Target="https://avo.uz/ru" TargetMode="External"/><Relationship Id="rId60" Type="http://schemas.openxmlformats.org/officeDocument/2006/relationships/hyperlink" Target="https://anorbank.uz/en/private/credits/" TargetMode="External"/><Relationship Id="rId69" Type="http://schemas.openxmlformats.org/officeDocument/2006/relationships/hyperlink" Target="https://t.me/avobank_uz" TargetMode="External"/><Relationship Id="rId51" Type="http://schemas.openxmlformats.org/officeDocument/2006/relationships/hyperlink" Target="https://tengebank.uz/en" TargetMode="External"/><Relationship Id="rId50" Type="http://schemas.openxmlformats.org/officeDocument/2006/relationships/hyperlink" Target="https://en.ipakyulibank.uz/private/cards" TargetMode="External"/><Relationship Id="rId53" Type="http://schemas.openxmlformats.org/officeDocument/2006/relationships/hyperlink" Target="https://instagram.com/tengebankuz" TargetMode="External"/><Relationship Id="rId52" Type="http://schemas.openxmlformats.org/officeDocument/2006/relationships/hyperlink" Target="https://tengebank.uz/en/deposits" TargetMode="External"/><Relationship Id="rId55" Type="http://schemas.openxmlformats.org/officeDocument/2006/relationships/hyperlink" Target="https://tengebank.uz/en/cards" TargetMode="External"/><Relationship Id="rId54" Type="http://schemas.openxmlformats.org/officeDocument/2006/relationships/hyperlink" Target="https://tengebank.uz/en/loans" TargetMode="External"/><Relationship Id="rId57" Type="http://schemas.openxmlformats.org/officeDocument/2006/relationships/hyperlink" Target="https://tbcbank.uz/en/loans" TargetMode="External"/><Relationship Id="rId56" Type="http://schemas.openxmlformats.org/officeDocument/2006/relationships/hyperlink" Target="https://tbcbank.uz" TargetMode="External"/><Relationship Id="rId59" Type="http://schemas.openxmlformats.org/officeDocument/2006/relationships/hyperlink" Target="https://anorbank.uz/en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tbcbank.uz/en/cards" TargetMode="External"/><Relationship Id="rId153" Type="http://schemas.openxmlformats.org/officeDocument/2006/relationships/hyperlink" Target="http://saderatbank.uz" TargetMode="External"/><Relationship Id="rId152" Type="http://schemas.openxmlformats.org/officeDocument/2006/relationships/hyperlink" Target="https://madadinvestbank.uz/cards" TargetMode="External"/><Relationship Id="rId151" Type="http://schemas.openxmlformats.org/officeDocument/2006/relationships/hyperlink" Target="https://madadinvestbank.uz/lo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3" t="s">
        <v>10</v>
      </c>
      <c r="D2" s="3" t="s">
        <v>11</v>
      </c>
      <c r="E2" s="4" t="str">
        <f>+998 78 148-00-10
support@nbu.uz</f>
        <v>#ERROR!</v>
      </c>
      <c r="F2" s="3" t="s">
        <v>12</v>
      </c>
      <c r="G2" s="3" t="s">
        <v>13</v>
      </c>
      <c r="H2" s="3" t="s">
        <v>14</v>
      </c>
    </row>
    <row r="3">
      <c r="A3" s="1" t="s">
        <v>15</v>
      </c>
      <c r="B3" s="2" t="s">
        <v>16</v>
      </c>
      <c r="C3" s="3" t="s">
        <v>17</v>
      </c>
      <c r="D3" s="3" t="s">
        <v>18</v>
      </c>
      <c r="E3" s="4" t="str">
        <f>+998 71 200-15-15
info@kapitalbank.uz</f>
        <v>#ERROR!</v>
      </c>
      <c r="F3" s="3" t="s">
        <v>19</v>
      </c>
      <c r="G3" s="3" t="s">
        <v>20</v>
      </c>
      <c r="H3" s="3" t="s">
        <v>21</v>
      </c>
    </row>
    <row r="4">
      <c r="A4" s="1" t="s">
        <v>22</v>
      </c>
      <c r="B4" s="2" t="s">
        <v>23</v>
      </c>
      <c r="C4" s="3" t="s">
        <v>24</v>
      </c>
      <c r="D4" s="3" t="s">
        <v>25</v>
      </c>
      <c r="E4" s="2" t="s">
        <v>26</v>
      </c>
      <c r="F4" s="3" t="s">
        <v>27</v>
      </c>
      <c r="G4" s="3" t="s">
        <v>28</v>
      </c>
      <c r="H4" s="3" t="s">
        <v>29</v>
      </c>
    </row>
    <row r="5">
      <c r="A5" s="1" t="s">
        <v>30</v>
      </c>
      <c r="B5" s="2" t="s">
        <v>31</v>
      </c>
      <c r="C5" s="3" t="s">
        <v>32</v>
      </c>
      <c r="D5" s="3" t="s">
        <v>33</v>
      </c>
      <c r="E5" s="2" t="s">
        <v>34</v>
      </c>
      <c r="F5" s="3" t="s">
        <v>35</v>
      </c>
      <c r="G5" s="3" t="s">
        <v>36</v>
      </c>
      <c r="H5" s="3" t="s">
        <v>37</v>
      </c>
    </row>
    <row r="6">
      <c r="A6" s="1" t="s">
        <v>38</v>
      </c>
      <c r="B6" s="2" t="s">
        <v>39</v>
      </c>
      <c r="C6" s="3" t="s">
        <v>40</v>
      </c>
      <c r="D6" s="3" t="s">
        <v>41</v>
      </c>
      <c r="E6" s="2" t="s">
        <v>42</v>
      </c>
      <c r="F6" s="3" t="s">
        <v>43</v>
      </c>
      <c r="G6" s="3" t="s">
        <v>44</v>
      </c>
      <c r="H6" s="3" t="s">
        <v>45</v>
      </c>
    </row>
    <row r="7">
      <c r="A7" s="1" t="s">
        <v>46</v>
      </c>
      <c r="B7" s="2" t="s">
        <v>47</v>
      </c>
      <c r="C7" s="3" t="s">
        <v>48</v>
      </c>
      <c r="D7" s="3" t="s">
        <v>49</v>
      </c>
      <c r="E7" s="2" t="s">
        <v>50</v>
      </c>
      <c r="F7" s="3" t="s">
        <v>51</v>
      </c>
      <c r="G7" s="3" t="s">
        <v>52</v>
      </c>
      <c r="H7" s="3" t="s">
        <v>53</v>
      </c>
    </row>
    <row r="8">
      <c r="A8" s="1" t="s">
        <v>54</v>
      </c>
      <c r="B8" s="2" t="s">
        <v>55</v>
      </c>
      <c r="C8" s="3" t="s">
        <v>56</v>
      </c>
      <c r="D8" s="3" t="s">
        <v>57</v>
      </c>
      <c r="E8" s="2" t="s">
        <v>58</v>
      </c>
      <c r="F8" s="3" t="s">
        <v>59</v>
      </c>
      <c r="G8" s="3" t="s">
        <v>60</v>
      </c>
      <c r="H8" s="3" t="s">
        <v>61</v>
      </c>
    </row>
    <row r="9">
      <c r="A9" s="1" t="s">
        <v>62</v>
      </c>
      <c r="B9" s="2" t="s">
        <v>63</v>
      </c>
      <c r="C9" s="3" t="s">
        <v>64</v>
      </c>
      <c r="D9" s="3" t="s">
        <v>65</v>
      </c>
      <c r="E9" s="4" t="str">
        <f>+998 78 150-00-55
info@brb.uz</f>
        <v>#ERROR!</v>
      </c>
      <c r="F9" s="3" t="s">
        <v>66</v>
      </c>
      <c r="G9" s="3" t="s">
        <v>67</v>
      </c>
      <c r="H9" s="3" t="s">
        <v>68</v>
      </c>
    </row>
    <row r="10">
      <c r="A10" s="1" t="s">
        <v>69</v>
      </c>
      <c r="B10" s="2" t="s">
        <v>70</v>
      </c>
      <c r="C10" s="3" t="s">
        <v>71</v>
      </c>
      <c r="D10" s="3" t="s">
        <v>72</v>
      </c>
      <c r="E10" s="2" t="s">
        <v>73</v>
      </c>
      <c r="F10" s="3" t="s">
        <v>74</v>
      </c>
      <c r="G10" s="3" t="s">
        <v>75</v>
      </c>
      <c r="H10" s="3" t="s">
        <v>76</v>
      </c>
    </row>
    <row r="11">
      <c r="A11" s="1" t="s">
        <v>77</v>
      </c>
      <c r="B11" s="2" t="s">
        <v>78</v>
      </c>
      <c r="C11" s="3" t="s">
        <v>79</v>
      </c>
      <c r="D11" s="3" t="s">
        <v>80</v>
      </c>
      <c r="E11" s="2" t="s">
        <v>81</v>
      </c>
      <c r="F11" s="3" t="s">
        <v>82</v>
      </c>
      <c r="G11" s="3" t="s">
        <v>83</v>
      </c>
      <c r="H11" s="3" t="s">
        <v>84</v>
      </c>
    </row>
    <row r="12">
      <c r="A12" s="1" t="s">
        <v>85</v>
      </c>
      <c r="B12" s="2" t="s">
        <v>86</v>
      </c>
      <c r="C12" s="3" t="s">
        <v>87</v>
      </c>
      <c r="D12" s="3" t="s">
        <v>88</v>
      </c>
      <c r="E12" s="2" t="s">
        <v>89</v>
      </c>
      <c r="F12" s="3" t="s">
        <v>90</v>
      </c>
      <c r="G12" s="3" t="s">
        <v>91</v>
      </c>
      <c r="H12" s="3" t="s">
        <v>92</v>
      </c>
    </row>
    <row r="13">
      <c r="A13" s="1" t="s">
        <v>93</v>
      </c>
      <c r="B13" s="2" t="s">
        <v>94</v>
      </c>
      <c r="C13" s="3" t="s">
        <v>95</v>
      </c>
      <c r="D13" s="2" t="s">
        <v>96</v>
      </c>
      <c r="E13" s="2" t="s">
        <v>97</v>
      </c>
      <c r="F13" s="2" t="s">
        <v>98</v>
      </c>
      <c r="G13" s="3" t="s">
        <v>99</v>
      </c>
      <c r="H13" s="3" t="s">
        <v>100</v>
      </c>
    </row>
    <row r="14">
      <c r="A14" s="1" t="s">
        <v>101</v>
      </c>
      <c r="B14" s="2" t="s">
        <v>102</v>
      </c>
      <c r="C14" s="3" t="s">
        <v>103</v>
      </c>
      <c r="D14" s="2" t="s">
        <v>104</v>
      </c>
      <c r="E14" s="2" t="s">
        <v>105</v>
      </c>
      <c r="F14" s="2" t="s">
        <v>106</v>
      </c>
      <c r="G14" s="3" t="s">
        <v>107</v>
      </c>
      <c r="H14" s="3" t="s">
        <v>108</v>
      </c>
    </row>
    <row r="15">
      <c r="A15" s="1" t="s">
        <v>109</v>
      </c>
      <c r="B15" s="2" t="s">
        <v>110</v>
      </c>
      <c r="C15" s="3" t="s">
        <v>111</v>
      </c>
      <c r="D15" s="3" t="s">
        <v>112</v>
      </c>
      <c r="E15" s="4" t="str">
        <f>+998 71 202-33-33
info@octobank.uz</f>
        <v>#ERROR!</v>
      </c>
      <c r="F15" s="3" t="s">
        <v>113</v>
      </c>
      <c r="G15" s="3" t="s">
        <v>114</v>
      </c>
      <c r="H15" s="3" t="s">
        <v>115</v>
      </c>
    </row>
    <row r="16">
      <c r="A16" s="1" t="s">
        <v>116</v>
      </c>
      <c r="B16" s="2" t="s">
        <v>117</v>
      </c>
      <c r="C16" s="3" t="s">
        <v>118</v>
      </c>
      <c r="D16" s="3" t="s">
        <v>119</v>
      </c>
      <c r="E16" s="4" t="str">
        <f>+998 78 888-78-87
info@avo.uz</f>
        <v>#ERROR!</v>
      </c>
      <c r="F16" s="3" t="s">
        <v>120</v>
      </c>
      <c r="G16" s="3" t="s">
        <v>121</v>
      </c>
      <c r="H16" s="3" t="s">
        <v>122</v>
      </c>
    </row>
    <row r="17">
      <c r="A17" s="1" t="s">
        <v>123</v>
      </c>
      <c r="B17" s="2" t="s">
        <v>124</v>
      </c>
      <c r="C17" s="3" t="s">
        <v>125</v>
      </c>
      <c r="D17" s="3" t="s">
        <v>126</v>
      </c>
      <c r="E17" s="2" t="s">
        <v>127</v>
      </c>
      <c r="F17" s="3" t="s">
        <v>128</v>
      </c>
      <c r="G17" s="3" t="s">
        <v>129</v>
      </c>
      <c r="H17" s="3" t="s">
        <v>130</v>
      </c>
    </row>
    <row r="18">
      <c r="A18" s="1" t="s">
        <v>131</v>
      </c>
      <c r="B18" s="2" t="s">
        <v>132</v>
      </c>
      <c r="C18" s="3" t="s">
        <v>133</v>
      </c>
      <c r="D18" s="3" t="s">
        <v>134</v>
      </c>
      <c r="E18" s="2" t="s">
        <v>135</v>
      </c>
      <c r="F18" s="3" t="s">
        <v>136</v>
      </c>
      <c r="G18" s="3" t="s">
        <v>137</v>
      </c>
      <c r="H18" s="3" t="s">
        <v>138</v>
      </c>
    </row>
    <row r="19">
      <c r="A19" s="1" t="s">
        <v>139</v>
      </c>
      <c r="B19" s="2" t="s">
        <v>140</v>
      </c>
      <c r="C19" s="3" t="s">
        <v>141</v>
      </c>
      <c r="D19" s="3" t="s">
        <v>142</v>
      </c>
      <c r="E19" s="2" t="s">
        <v>143</v>
      </c>
      <c r="F19" s="3" t="s">
        <v>144</v>
      </c>
      <c r="G19" s="3" t="s">
        <v>145</v>
      </c>
      <c r="H19" s="3" t="s">
        <v>146</v>
      </c>
    </row>
    <row r="20">
      <c r="A20" s="1" t="s">
        <v>147</v>
      </c>
      <c r="B20" s="2" t="s">
        <v>148</v>
      </c>
      <c r="C20" s="3" t="s">
        <v>149</v>
      </c>
      <c r="D20" s="3" t="s">
        <v>150</v>
      </c>
      <c r="E20" s="2" t="s">
        <v>151</v>
      </c>
      <c r="F20" s="3" t="s">
        <v>152</v>
      </c>
      <c r="G20" s="3" t="s">
        <v>153</v>
      </c>
      <c r="H20" s="3" t="s">
        <v>154</v>
      </c>
    </row>
    <row r="21">
      <c r="A21" s="1" t="s">
        <v>155</v>
      </c>
      <c r="B21" s="2" t="s">
        <v>156</v>
      </c>
      <c r="C21" s="3" t="s">
        <v>157</v>
      </c>
      <c r="D21" s="3" t="s">
        <v>158</v>
      </c>
      <c r="E21" s="2" t="s">
        <v>159</v>
      </c>
      <c r="F21" s="3" t="s">
        <v>160</v>
      </c>
      <c r="G21" s="3" t="s">
        <v>161</v>
      </c>
      <c r="H21" s="3" t="s">
        <v>162</v>
      </c>
    </row>
    <row r="22">
      <c r="A22" s="1" t="s">
        <v>163</v>
      </c>
      <c r="B22" s="2" t="s">
        <v>164</v>
      </c>
      <c r="C22" s="3" t="s">
        <v>165</v>
      </c>
      <c r="D22" s="3" t="s">
        <v>166</v>
      </c>
      <c r="E22" s="4" t="str">
        <f>+998 71 214-20-00
info@poytaxtbank.uz</f>
        <v>#ERROR!</v>
      </c>
      <c r="F22" s="3" t="s">
        <v>167</v>
      </c>
      <c r="G22" s="3" t="s">
        <v>168</v>
      </c>
      <c r="H22" s="3" t="s">
        <v>169</v>
      </c>
    </row>
    <row r="23">
      <c r="A23" s="1" t="s">
        <v>170</v>
      </c>
      <c r="B23" s="2" t="s">
        <v>171</v>
      </c>
      <c r="C23" s="3" t="s">
        <v>172</v>
      </c>
      <c r="D23" s="3" t="s">
        <v>173</v>
      </c>
      <c r="E23" s="2" t="s">
        <v>174</v>
      </c>
      <c r="F23" s="3" t="s">
        <v>175</v>
      </c>
      <c r="G23" s="3" t="s">
        <v>176</v>
      </c>
      <c r="H23" s="3" t="s">
        <v>177</v>
      </c>
    </row>
    <row r="24">
      <c r="A24" s="1" t="s">
        <v>178</v>
      </c>
      <c r="B24" s="2" t="s">
        <v>179</v>
      </c>
      <c r="C24" s="3" t="s">
        <v>180</v>
      </c>
      <c r="D24" s="2" t="s">
        <v>181</v>
      </c>
      <c r="E24" s="4" t="str">
        <f>+998 78 120-80-00
info@kdb.uz</f>
        <v>#ERROR!</v>
      </c>
      <c r="F24" s="3" t="s">
        <v>182</v>
      </c>
      <c r="G24" s="3" t="s">
        <v>183</v>
      </c>
      <c r="H24" s="3" t="s">
        <v>184</v>
      </c>
    </row>
    <row r="25">
      <c r="A25" s="1" t="s">
        <v>185</v>
      </c>
      <c r="B25" s="2" t="s">
        <v>186</v>
      </c>
      <c r="C25" s="3" t="s">
        <v>187</v>
      </c>
      <c r="D25" s="3" t="s">
        <v>188</v>
      </c>
      <c r="E25" s="4" t="str">
        <f>+998 71 200-11-10
info@universalbank.uz</f>
        <v>#ERROR!</v>
      </c>
      <c r="F25" s="3" t="s">
        <v>189</v>
      </c>
      <c r="G25" s="3" t="s">
        <v>190</v>
      </c>
      <c r="H25" s="3" t="s">
        <v>191</v>
      </c>
    </row>
    <row r="26">
      <c r="A26" s="1" t="s">
        <v>192</v>
      </c>
      <c r="B26" s="2" t="s">
        <v>193</v>
      </c>
      <c r="C26" s="3" t="s">
        <v>194</v>
      </c>
      <c r="D26" s="3" t="s">
        <v>195</v>
      </c>
      <c r="E26" s="4" t="str">
        <f>+998 71 231-60-00
info@aab.uz</f>
        <v>#ERROR!</v>
      </c>
      <c r="F26" s="3" t="s">
        <v>196</v>
      </c>
      <c r="G26" s="3" t="s">
        <v>197</v>
      </c>
      <c r="H26" s="3" t="s">
        <v>198</v>
      </c>
    </row>
    <row r="27">
      <c r="A27" s="1" t="s">
        <v>199</v>
      </c>
      <c r="B27" s="2" t="s">
        <v>200</v>
      </c>
      <c r="C27" s="3" t="s">
        <v>201</v>
      </c>
      <c r="D27" s="3" t="s">
        <v>202</v>
      </c>
      <c r="E27" s="2" t="s">
        <v>203</v>
      </c>
      <c r="F27" s="3" t="s">
        <v>204</v>
      </c>
      <c r="G27" s="3" t="s">
        <v>205</v>
      </c>
      <c r="H27" s="3" t="s">
        <v>206</v>
      </c>
    </row>
    <row r="28">
      <c r="A28" s="1" t="s">
        <v>207</v>
      </c>
      <c r="B28" s="2" t="s">
        <v>208</v>
      </c>
      <c r="C28" s="3" t="s">
        <v>209</v>
      </c>
      <c r="D28" s="3" t="s">
        <v>210</v>
      </c>
      <c r="E28" s="2" t="s">
        <v>211</v>
      </c>
      <c r="F28" s="3" t="s">
        <v>212</v>
      </c>
      <c r="G28" s="3" t="s">
        <v>213</v>
      </c>
      <c r="H28" s="3" t="s">
        <v>214</v>
      </c>
    </row>
    <row r="29">
      <c r="A29" s="1" t="s">
        <v>215</v>
      </c>
      <c r="B29" s="2" t="s">
        <v>216</v>
      </c>
      <c r="C29" s="3" t="s">
        <v>217</v>
      </c>
      <c r="D29" s="3" t="s">
        <v>218</v>
      </c>
      <c r="E29" s="2" t="s">
        <v>219</v>
      </c>
      <c r="F29" s="2" t="s">
        <v>220</v>
      </c>
      <c r="G29" s="3" t="s">
        <v>221</v>
      </c>
      <c r="H29" s="3" t="s">
        <v>222</v>
      </c>
    </row>
    <row r="30">
      <c r="A30" s="1" t="s">
        <v>223</v>
      </c>
      <c r="B30" s="2" t="s">
        <v>224</v>
      </c>
      <c r="C30" s="3" t="s">
        <v>225</v>
      </c>
      <c r="D30" s="3" t="s">
        <v>226</v>
      </c>
      <c r="E30" s="2" t="s">
        <v>227</v>
      </c>
      <c r="F30" s="2" t="s">
        <v>220</v>
      </c>
      <c r="G30" s="3" t="s">
        <v>228</v>
      </c>
      <c r="H30" s="3" t="s">
        <v>229</v>
      </c>
    </row>
    <row r="31">
      <c r="A31" s="1" t="s">
        <v>230</v>
      </c>
      <c r="B31" s="2" t="s">
        <v>231</v>
      </c>
      <c r="C31" s="3" t="s">
        <v>232</v>
      </c>
      <c r="D31" s="3" t="s">
        <v>233</v>
      </c>
      <c r="E31" s="4" t="str">
        <f>+998 78 777-88-87
info@yangibank.uz</f>
        <v>#ERROR!</v>
      </c>
      <c r="F31" s="2" t="s">
        <v>220</v>
      </c>
      <c r="G31" s="3" t="s">
        <v>234</v>
      </c>
      <c r="H31" s="3" t="s">
        <v>235</v>
      </c>
    </row>
    <row r="32">
      <c r="A32" s="1" t="s">
        <v>236</v>
      </c>
      <c r="B32" s="2" t="s">
        <v>237</v>
      </c>
      <c r="C32" s="3" t="s">
        <v>238</v>
      </c>
      <c r="D32" s="3" t="s">
        <v>239</v>
      </c>
      <c r="E32" s="2" t="s">
        <v>240</v>
      </c>
      <c r="F32" s="3" t="s">
        <v>241</v>
      </c>
      <c r="G32" s="3" t="s">
        <v>242</v>
      </c>
      <c r="H32" s="3" t="s">
        <v>243</v>
      </c>
    </row>
    <row r="33">
      <c r="A33" s="1" t="s">
        <v>244</v>
      </c>
      <c r="B33" s="2" t="s">
        <v>245</v>
      </c>
      <c r="C33" s="3" t="s">
        <v>246</v>
      </c>
      <c r="D33" s="3" t="s">
        <v>247</v>
      </c>
      <c r="E33" s="4" t="str">
        <f>+998 71 252-11-61
info@madadinvestbank.uz</f>
        <v>#ERROR!</v>
      </c>
      <c r="F33" s="3" t="s">
        <v>248</v>
      </c>
      <c r="G33" s="3" t="s">
        <v>249</v>
      </c>
      <c r="H33" s="3" t="s">
        <v>250</v>
      </c>
    </row>
    <row r="34">
      <c r="A34" s="1" t="s">
        <v>251</v>
      </c>
      <c r="B34" s="2" t="s">
        <v>252</v>
      </c>
      <c r="C34" s="3" t="s">
        <v>253</v>
      </c>
      <c r="D34" s="2" t="s">
        <v>254</v>
      </c>
      <c r="E34" s="4" t="str">
        <f>+998 71 252-11-61
contact@saderatbank.uz</f>
        <v>#ERROR!</v>
      </c>
      <c r="F34" s="2" t="s">
        <v>220</v>
      </c>
      <c r="G34" s="2" t="s">
        <v>220</v>
      </c>
      <c r="H34" s="2" t="s">
        <v>220</v>
      </c>
    </row>
  </sheetData>
  <hyperlinks>
    <hyperlink r:id="rId1" ref="C2"/>
    <hyperlink r:id="rId2" ref="D2"/>
    <hyperlink r:id="rId3" ref="F2"/>
    <hyperlink r:id="rId4" ref="G2"/>
    <hyperlink r:id="rId5" ref="H2"/>
    <hyperlink r:id="rId6" ref="C3"/>
    <hyperlink r:id="rId7" ref="D3"/>
    <hyperlink r:id="rId8" ref="F3"/>
    <hyperlink r:id="rId9" ref="G3"/>
    <hyperlink r:id="rId10" ref="H3"/>
    <hyperlink r:id="rId11" ref="C4"/>
    <hyperlink r:id="rId12" ref="D4"/>
    <hyperlink r:id="rId13" ref="F4"/>
    <hyperlink r:id="rId14" ref="G4"/>
    <hyperlink r:id="rId15" ref="H4"/>
    <hyperlink r:id="rId16" ref="C5"/>
    <hyperlink r:id="rId17" ref="D5"/>
    <hyperlink r:id="rId18" ref="F5"/>
    <hyperlink r:id="rId19" ref="G5"/>
    <hyperlink r:id="rId20" ref="H5"/>
    <hyperlink r:id="rId21" ref="C6"/>
    <hyperlink r:id="rId22" ref="D6"/>
    <hyperlink r:id="rId23" ref="F6"/>
    <hyperlink r:id="rId24" ref="G6"/>
    <hyperlink r:id="rId25" ref="H6"/>
    <hyperlink r:id="rId26" ref="C7"/>
    <hyperlink r:id="rId27" ref="D7"/>
    <hyperlink r:id="rId28" ref="F7"/>
    <hyperlink r:id="rId29" ref="G7"/>
    <hyperlink r:id="rId30" ref="H7"/>
    <hyperlink r:id="rId31" ref="C8"/>
    <hyperlink r:id="rId32" ref="D8"/>
    <hyperlink r:id="rId33" ref="F8"/>
    <hyperlink r:id="rId34" ref="G8"/>
    <hyperlink r:id="rId35" ref="H8"/>
    <hyperlink r:id="rId36" ref="C9"/>
    <hyperlink r:id="rId37" ref="D9"/>
    <hyperlink r:id="rId38" ref="F9"/>
    <hyperlink r:id="rId39" ref="G9"/>
    <hyperlink r:id="rId40" ref="H9"/>
    <hyperlink r:id="rId41" ref="C10"/>
    <hyperlink r:id="rId42" ref="D10"/>
    <hyperlink r:id="rId43" ref="F10"/>
    <hyperlink r:id="rId44" ref="G10"/>
    <hyperlink r:id="rId45" ref="H10"/>
    <hyperlink r:id="rId46" ref="C11"/>
    <hyperlink r:id="rId47" ref="D11"/>
    <hyperlink r:id="rId48" ref="F11"/>
    <hyperlink r:id="rId49" ref="G11"/>
    <hyperlink r:id="rId50" ref="H11"/>
    <hyperlink r:id="rId51" ref="C12"/>
    <hyperlink r:id="rId52" ref="D12"/>
    <hyperlink r:id="rId53" ref="F12"/>
    <hyperlink r:id="rId54" ref="G12"/>
    <hyperlink r:id="rId55" ref="H12"/>
    <hyperlink r:id="rId56" ref="C13"/>
    <hyperlink r:id="rId57" ref="G13"/>
    <hyperlink r:id="rId58" ref="H13"/>
    <hyperlink r:id="rId59" ref="C14"/>
    <hyperlink r:id="rId60" ref="G14"/>
    <hyperlink r:id="rId61" ref="H14"/>
    <hyperlink r:id="rId62" ref="C15"/>
    <hyperlink r:id="rId63" ref="D15"/>
    <hyperlink r:id="rId64" ref="F15"/>
    <hyperlink r:id="rId65" ref="G15"/>
    <hyperlink r:id="rId66" ref="H15"/>
    <hyperlink r:id="rId67" ref="C16"/>
    <hyperlink r:id="rId68" ref="D16"/>
    <hyperlink r:id="rId69" ref="F16"/>
    <hyperlink r:id="rId70" ref="G16"/>
    <hyperlink r:id="rId71" ref="H16"/>
    <hyperlink r:id="rId72" ref="C17"/>
    <hyperlink r:id="rId73" ref="D17"/>
    <hyperlink r:id="rId74" ref="F17"/>
    <hyperlink r:id="rId75" ref="G17"/>
    <hyperlink r:id="rId76" ref="H17"/>
    <hyperlink r:id="rId77" ref="C18"/>
    <hyperlink r:id="rId78" ref="D18"/>
    <hyperlink r:id="rId79" ref="F18"/>
    <hyperlink r:id="rId80" ref="G18"/>
    <hyperlink r:id="rId81" ref="H18"/>
    <hyperlink r:id="rId82" ref="C19"/>
    <hyperlink r:id="rId83" ref="D19"/>
    <hyperlink r:id="rId84" ref="F19"/>
    <hyperlink r:id="rId85" ref="G19"/>
    <hyperlink r:id="rId86" ref="H19"/>
    <hyperlink r:id="rId87" ref="C20"/>
    <hyperlink r:id="rId88" ref="D20"/>
    <hyperlink r:id="rId89" ref="F20"/>
    <hyperlink r:id="rId90" ref="G20"/>
    <hyperlink r:id="rId91" ref="H20"/>
    <hyperlink r:id="rId92" ref="C21"/>
    <hyperlink r:id="rId93" ref="D21"/>
    <hyperlink r:id="rId94" ref="F21"/>
    <hyperlink r:id="rId95" ref="G21"/>
    <hyperlink r:id="rId96" ref="H21"/>
    <hyperlink r:id="rId97" ref="C22"/>
    <hyperlink r:id="rId98" ref="D22"/>
    <hyperlink r:id="rId99" ref="F22"/>
    <hyperlink r:id="rId100" ref="G22"/>
    <hyperlink r:id="rId101" ref="H22"/>
    <hyperlink r:id="rId102" ref="C23"/>
    <hyperlink r:id="rId103" ref="D23"/>
    <hyperlink r:id="rId104" ref="F23"/>
    <hyperlink r:id="rId105" ref="G23"/>
    <hyperlink r:id="rId106" ref="H23"/>
    <hyperlink r:id="rId107" ref="C24"/>
    <hyperlink r:id="rId108" ref="F24"/>
    <hyperlink r:id="rId109" ref="G24"/>
    <hyperlink r:id="rId110" ref="H24"/>
    <hyperlink r:id="rId111" ref="C25"/>
    <hyperlink r:id="rId112" ref="D25"/>
    <hyperlink r:id="rId113" ref="F25"/>
    <hyperlink r:id="rId114" ref="G25"/>
    <hyperlink r:id="rId115" ref="H25"/>
    <hyperlink r:id="rId116" ref="C26"/>
    <hyperlink r:id="rId117" ref="D26"/>
    <hyperlink r:id="rId118" ref="F26"/>
    <hyperlink r:id="rId119" ref="G26"/>
    <hyperlink r:id="rId120" ref="H26"/>
    <hyperlink r:id="rId121" ref="C27"/>
    <hyperlink r:id="rId122" ref="D27"/>
    <hyperlink r:id="rId123" ref="F27"/>
    <hyperlink r:id="rId124" ref="G27"/>
    <hyperlink r:id="rId125" ref="H27"/>
    <hyperlink r:id="rId126" ref="C28"/>
    <hyperlink r:id="rId127" ref="D28"/>
    <hyperlink r:id="rId128" ref="F28"/>
    <hyperlink r:id="rId129" ref="G28"/>
    <hyperlink r:id="rId130" ref="H28"/>
    <hyperlink r:id="rId131" ref="C29"/>
    <hyperlink r:id="rId132" ref="D29"/>
    <hyperlink r:id="rId133" ref="G29"/>
    <hyperlink r:id="rId134" ref="H29"/>
    <hyperlink r:id="rId135" ref="C30"/>
    <hyperlink r:id="rId136" ref="D30"/>
    <hyperlink r:id="rId137" ref="G30"/>
    <hyperlink r:id="rId138" ref="H30"/>
    <hyperlink r:id="rId139" ref="C31"/>
    <hyperlink r:id="rId140" ref="D31"/>
    <hyperlink r:id="rId141" ref="G31"/>
    <hyperlink r:id="rId142" ref="H31"/>
    <hyperlink r:id="rId143" ref="C32"/>
    <hyperlink r:id="rId144" ref="D32"/>
    <hyperlink r:id="rId145" ref="F32"/>
    <hyperlink r:id="rId146" ref="G32"/>
    <hyperlink r:id="rId147" ref="H32"/>
    <hyperlink r:id="rId148" ref="C33"/>
    <hyperlink r:id="rId149" ref="D33"/>
    <hyperlink r:id="rId150" ref="F33"/>
    <hyperlink r:id="rId151" ref="G33"/>
    <hyperlink r:id="rId152" ref="H33"/>
    <hyperlink r:id="rId153" ref="C34"/>
  </hyperlinks>
  <drawing r:id="rId154"/>
</worksheet>
</file>